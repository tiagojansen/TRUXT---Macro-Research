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Macro\Market\"/>
    </mc:Choice>
  </mc:AlternateContent>
  <xr:revisionPtr revIDLastSave="0" documentId="8_{51D2F699-99EA-453C-AFC7-E299B954AC13}" xr6:coauthVersionLast="47" xr6:coauthVersionMax="47" xr10:uidLastSave="{00000000-0000-0000-0000-000000000000}"/>
  <bookViews>
    <workbookView xWindow="-120" yWindow="-120" windowWidth="29040" windowHeight="15720" activeTab="4" xr2:uid="{637C9D91-9F48-47ED-B805-79FA10FAD5EA}"/>
  </bookViews>
  <sheets>
    <sheet name="DI_Futuro" sheetId="1" r:id="rId1"/>
    <sheet name="NTNB" sheetId="2" r:id="rId2"/>
    <sheet name="FX" sheetId="3" r:id="rId3"/>
    <sheet name="Treasuries" sheetId="4" r:id="rId4"/>
    <sheet name="EXPOR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1" i="5" l="1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E9" i="1"/>
  <c r="D9" i="5" s="1"/>
  <c r="E8" i="1"/>
  <c r="D8" i="5" s="1"/>
  <c r="E7" i="1"/>
  <c r="D7" i="5" s="1"/>
  <c r="E6" i="1"/>
  <c r="D6" i="5" s="1"/>
  <c r="E5" i="1"/>
  <c r="D5" i="5" s="1"/>
  <c r="E4" i="1"/>
  <c r="D4" i="5" s="1"/>
  <c r="E3" i="1"/>
  <c r="D3" i="5" s="1"/>
  <c r="E2" i="1"/>
  <c r="D2" i="5" s="1"/>
</calcChain>
</file>

<file path=xl/sharedStrings.xml><?xml version="1.0" encoding="utf-8"?>
<sst xmlns="http://schemas.openxmlformats.org/spreadsheetml/2006/main" count="163" uniqueCount="96">
  <si>
    <t>Label</t>
  </si>
  <si>
    <t>Ticker BBG</t>
  </si>
  <si>
    <t>Field</t>
  </si>
  <si>
    <t>Descrição</t>
  </si>
  <si>
    <t>DU</t>
  </si>
  <si>
    <t>DI1F26 COMB Comdty</t>
  </si>
  <si>
    <t>PX_LAST</t>
  </si>
  <si>
    <t>Venc. jan 2026</t>
  </si>
  <si>
    <t>DI1N26 COMB Comdty</t>
  </si>
  <si>
    <t>Venc. jul 2026</t>
  </si>
  <si>
    <t>DI1F27 COMB Comdty</t>
  </si>
  <si>
    <t>Venc. jan 2027</t>
  </si>
  <si>
    <t>DI1N27 COMB Comdty</t>
  </si>
  <si>
    <t>Venc. jul 2027</t>
  </si>
  <si>
    <t>DI1F28 COMB Comdty</t>
  </si>
  <si>
    <t>Venc. jan 2028</t>
  </si>
  <si>
    <t>DI1F29 COMB Comdty</t>
  </si>
  <si>
    <t>Venc. jan 2029</t>
  </si>
  <si>
    <t>DI1F31 COMB Comdty</t>
  </si>
  <si>
    <t>Venc. jan 2031</t>
  </si>
  <si>
    <t>DI1F33 COMB Comdty</t>
  </si>
  <si>
    <t>Venc. jan 2033</t>
  </si>
  <si>
    <t>Mai/26</t>
  </si>
  <si>
    <t>BRCOTF26 Corp</t>
  </si>
  <si>
    <t>YLD_YTM_MID</t>
  </si>
  <si>
    <t>NTN-B mai 2026</t>
  </si>
  <si>
    <t>Ago/28</t>
  </si>
  <si>
    <t>BRCOTQ28 Corp</t>
  </si>
  <si>
    <t>NTN-B ago 2028</t>
  </si>
  <si>
    <t>Mai/31</t>
  </si>
  <si>
    <t>BRCOTF31 Corp</t>
  </si>
  <si>
    <t>NTN-B mai 2031</t>
  </si>
  <si>
    <t>Mai/35</t>
  </si>
  <si>
    <t>BRCOTF35 Corp</t>
  </si>
  <si>
    <t>NTN-B mai 2035</t>
  </si>
  <si>
    <t>Mai/40</t>
  </si>
  <si>
    <t>BRCOTF40 Corp</t>
  </si>
  <si>
    <t>NTN-B mai 2040</t>
  </si>
  <si>
    <t>Mai/45</t>
  </si>
  <si>
    <t>BRCOTF45 Corp</t>
  </si>
  <si>
    <t>NTN-B mai 2045</t>
  </si>
  <si>
    <t>Ago/50</t>
  </si>
  <si>
    <t>BRCOTQ50 Corp</t>
  </si>
  <si>
    <t>NTN-B ago 2050</t>
  </si>
  <si>
    <t>Mai/55</t>
  </si>
  <si>
    <t>BRCOTF55 Corp</t>
  </si>
  <si>
    <t>NTN-B mai 2055</t>
  </si>
  <si>
    <t>USD/BRL</t>
  </si>
  <si>
    <t>USDBRL Curncy</t>
  </si>
  <si>
    <t>Dólar spot</t>
  </si>
  <si>
    <t>EUR/BRL</t>
  </si>
  <si>
    <t>EURBRL Curncy</t>
  </si>
  <si>
    <t>Euro em real</t>
  </si>
  <si>
    <t>EUR/USD</t>
  </si>
  <si>
    <t>EURUSD Curncy</t>
  </si>
  <si>
    <t>Euro em dólar</t>
  </si>
  <si>
    <t>GBP/USD</t>
  </si>
  <si>
    <t>GBPUSD Curncy</t>
  </si>
  <si>
    <t>Libra em dólar</t>
  </si>
  <si>
    <t>USD/JPY</t>
  </si>
  <si>
    <t>USDJPY Curncy</t>
  </si>
  <si>
    <t>Dólar em iene</t>
  </si>
  <si>
    <t>USD/CNY</t>
  </si>
  <si>
    <t>USDCNY Curncy</t>
  </si>
  <si>
    <t>Dólar em yuan</t>
  </si>
  <si>
    <t>DXY</t>
  </si>
  <si>
    <t>DXY Curncy</t>
  </si>
  <si>
    <t>Índice dólar</t>
  </si>
  <si>
    <t>2y</t>
  </si>
  <si>
    <t>USGG2YR Index</t>
  </si>
  <si>
    <t>Treasury 2 anos</t>
  </si>
  <si>
    <t>3y</t>
  </si>
  <si>
    <t>USGG3YR Index</t>
  </si>
  <si>
    <t>Treasury 3 anos</t>
  </si>
  <si>
    <t>5y</t>
  </si>
  <si>
    <t>USGG5YR Index</t>
  </si>
  <si>
    <t>Treasury 5 anos</t>
  </si>
  <si>
    <t>7y</t>
  </si>
  <si>
    <t>USGG7YR Index</t>
  </si>
  <si>
    <t>Treasury 7 anos</t>
  </si>
  <si>
    <t>10y</t>
  </si>
  <si>
    <t>USGG10YR Index</t>
  </si>
  <si>
    <t>Treasury 10 anos</t>
  </si>
  <si>
    <t>20y</t>
  </si>
  <si>
    <t>USGG20YR Index</t>
  </si>
  <si>
    <t>Treasury 20 anos</t>
  </si>
  <si>
    <t>30y</t>
  </si>
  <si>
    <t>USGG30YR Index</t>
  </si>
  <si>
    <t>Treasury 30 anos</t>
  </si>
  <si>
    <t>Tipo</t>
  </si>
  <si>
    <t>Value</t>
  </si>
  <si>
    <t>Extra</t>
  </si>
  <si>
    <t>di</t>
  </si>
  <si>
    <t>ntnb</t>
  </si>
  <si>
    <t>fx</t>
  </si>
  <si>
    <t>treasury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</si>
</sst>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80808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" fontId="0" fillId="0" borderId="0" xfId="0" applyNumberFormat="1"/>
    <xf numFmtId="17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5990B-71F5-4064-8A76-B8A06090010F}">
  <dimension ref="A1:E9"/>
  <sheetViews>
    <sheetView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6.7109375" bestFit="1" customWidth="1"/>
    <col min="2" max="2" width="20.28515625" bestFit="1" customWidth="1"/>
    <col min="3" max="3" width="8.140625" bestFit="1" customWidth="1"/>
    <col min="4" max="4" width="13.7109375" bestFit="1" customWidth="1"/>
    <col min="5" max="5" width="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46048</v>
      </c>
      <c r="B2" t="s">
        <v>5</v>
      </c>
      <c r="C2" t="s">
        <v>6</v>
      </c>
      <c r="D2" t="s">
        <v>7</v>
      </c>
      <c r="E2">
        <f ca="1">NETWORKDAYS(TODAY(),DATE(2026,1,2))</f>
        <v>-103</v>
      </c>
    </row>
    <row r="3" spans="1:5" x14ac:dyDescent="0.25">
      <c r="A3" s="2">
        <v>46229</v>
      </c>
      <c r="B3" t="s">
        <v>8</v>
      </c>
      <c r="C3" t="s">
        <v>6</v>
      </c>
      <c r="D3" t="s">
        <v>9</v>
      </c>
      <c r="E3">
        <f ca="1">NETWORKDAYS(TODAY(),DATE(2026,7,1))</f>
        <v>27</v>
      </c>
    </row>
    <row r="4" spans="1:5" x14ac:dyDescent="0.25">
      <c r="A4" s="2">
        <v>46049</v>
      </c>
      <c r="B4" t="s">
        <v>10</v>
      </c>
      <c r="C4" t="s">
        <v>6</v>
      </c>
      <c r="D4" t="s">
        <v>11</v>
      </c>
      <c r="E4">
        <f ca="1">NETWORKDAYS(TODAY(),DATE(2027,1,4))</f>
        <v>160</v>
      </c>
    </row>
    <row r="5" spans="1:5" x14ac:dyDescent="0.25">
      <c r="A5" s="2">
        <v>46230</v>
      </c>
      <c r="B5" t="s">
        <v>12</v>
      </c>
      <c r="C5" t="s">
        <v>6</v>
      </c>
      <c r="D5" t="s">
        <v>13</v>
      </c>
      <c r="E5">
        <f ca="1">NETWORKDAYS(TODAY(),DATE(2027,7,1))</f>
        <v>288</v>
      </c>
    </row>
    <row r="6" spans="1:5" x14ac:dyDescent="0.25">
      <c r="A6" s="2">
        <v>46050</v>
      </c>
      <c r="B6" t="s">
        <v>14</v>
      </c>
      <c r="C6" t="s">
        <v>6</v>
      </c>
      <c r="D6" t="s">
        <v>15</v>
      </c>
      <c r="E6">
        <f ca="1">NETWORKDAYS(TODAY(),DATE(2028,1,3))</f>
        <v>420</v>
      </c>
    </row>
    <row r="7" spans="1:5" x14ac:dyDescent="0.25">
      <c r="A7" s="2">
        <v>46051</v>
      </c>
      <c r="B7" t="s">
        <v>16</v>
      </c>
      <c r="C7" t="s">
        <v>6</v>
      </c>
      <c r="D7" t="s">
        <v>17</v>
      </c>
      <c r="E7">
        <f ca="1">NETWORKDAYS(TODAY(),DATE(2029,1,2))</f>
        <v>681</v>
      </c>
    </row>
    <row r="8" spans="1:5" x14ac:dyDescent="0.25">
      <c r="A8" s="2">
        <v>46053</v>
      </c>
      <c r="B8" t="s">
        <v>18</v>
      </c>
      <c r="C8" t="s">
        <v>6</v>
      </c>
      <c r="D8" t="s">
        <v>19</v>
      </c>
      <c r="E8">
        <f ca="1">NETWORKDAYS(TODAY(),DATE(2031,1,2))</f>
        <v>1203</v>
      </c>
    </row>
    <row r="9" spans="1:5" x14ac:dyDescent="0.25">
      <c r="A9" s="3">
        <v>12055</v>
      </c>
      <c r="B9" t="s">
        <v>20</v>
      </c>
      <c r="C9" t="s">
        <v>6</v>
      </c>
      <c r="D9" t="s">
        <v>21</v>
      </c>
      <c r="E9">
        <f ca="1">NETWORKDAYS(TODAY(),DATE(2033,1,3))</f>
        <v>1725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16E77-F3B0-4FA0-A683-F0905DFCED0D}">
  <dimension ref="A1:D9"/>
  <sheetViews>
    <sheetView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7" bestFit="1" customWidth="1"/>
    <col min="2" max="2" width="15" bestFit="1" customWidth="1"/>
    <col min="3" max="3" width="12.85546875" bestFit="1" customWidth="1"/>
    <col min="4" max="4" width="15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22</v>
      </c>
      <c r="B2" t="s">
        <v>23</v>
      </c>
      <c r="C2" t="s">
        <v>24</v>
      </c>
      <c r="D2" t="s">
        <v>25</v>
      </c>
    </row>
    <row r="3" spans="1:4" x14ac:dyDescent="0.25">
      <c r="A3" t="s">
        <v>26</v>
      </c>
      <c r="B3" t="s">
        <v>27</v>
      </c>
      <c r="C3" t="s">
        <v>24</v>
      </c>
      <c r="D3" t="s">
        <v>28</v>
      </c>
    </row>
    <row r="4" spans="1:4" x14ac:dyDescent="0.25">
      <c r="A4" t="s">
        <v>29</v>
      </c>
      <c r="B4" t="s">
        <v>30</v>
      </c>
      <c r="C4" t="s">
        <v>24</v>
      </c>
      <c r="D4" t="s">
        <v>31</v>
      </c>
    </row>
    <row r="5" spans="1:4" x14ac:dyDescent="0.25">
      <c r="A5" t="s">
        <v>32</v>
      </c>
      <c r="B5" t="s">
        <v>33</v>
      </c>
      <c r="C5" t="s">
        <v>24</v>
      </c>
      <c r="D5" t="s">
        <v>34</v>
      </c>
    </row>
    <row r="6" spans="1:4" x14ac:dyDescent="0.25">
      <c r="A6" t="s">
        <v>35</v>
      </c>
      <c r="B6" t="s">
        <v>36</v>
      </c>
      <c r="C6" t="s">
        <v>24</v>
      </c>
      <c r="D6" t="s">
        <v>37</v>
      </c>
    </row>
    <row r="7" spans="1:4" x14ac:dyDescent="0.25">
      <c r="A7" t="s">
        <v>38</v>
      </c>
      <c r="B7" t="s">
        <v>39</v>
      </c>
      <c r="C7" t="s">
        <v>24</v>
      </c>
      <c r="D7" t="s">
        <v>40</v>
      </c>
    </row>
    <row r="8" spans="1:4" x14ac:dyDescent="0.25">
      <c r="A8" t="s">
        <v>41</v>
      </c>
      <c r="B8" t="s">
        <v>42</v>
      </c>
      <c r="C8" t="s">
        <v>24</v>
      </c>
      <c r="D8" t="s">
        <v>43</v>
      </c>
    </row>
    <row r="9" spans="1:4" x14ac:dyDescent="0.25">
      <c r="A9" t="s">
        <v>44</v>
      </c>
      <c r="B9" t="s">
        <v>45</v>
      </c>
      <c r="C9" t="s">
        <v>24</v>
      </c>
      <c r="D9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A1A21-2C65-4234-A0B3-CFB143F32170}">
  <dimension ref="A1:D8"/>
  <sheetViews>
    <sheetView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8.85546875" bestFit="1" customWidth="1"/>
    <col min="2" max="2" width="14.7109375" bestFit="1" customWidth="1"/>
    <col min="3" max="3" width="8.140625" bestFit="1" customWidth="1"/>
    <col min="4" max="4" width="13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47</v>
      </c>
      <c r="B2" t="s">
        <v>48</v>
      </c>
      <c r="C2" t="s">
        <v>6</v>
      </c>
      <c r="D2" t="s">
        <v>49</v>
      </c>
    </row>
    <row r="3" spans="1:4" x14ac:dyDescent="0.25">
      <c r="A3" t="s">
        <v>50</v>
      </c>
      <c r="B3" t="s">
        <v>51</v>
      </c>
      <c r="C3" t="s">
        <v>6</v>
      </c>
      <c r="D3" t="s">
        <v>52</v>
      </c>
    </row>
    <row r="4" spans="1:4" x14ac:dyDescent="0.25">
      <c r="A4" t="s">
        <v>53</v>
      </c>
      <c r="B4" t="s">
        <v>54</v>
      </c>
      <c r="C4" t="s">
        <v>6</v>
      </c>
      <c r="D4" t="s">
        <v>55</v>
      </c>
    </row>
    <row r="5" spans="1:4" x14ac:dyDescent="0.25">
      <c r="A5" t="s">
        <v>56</v>
      </c>
      <c r="B5" t="s">
        <v>57</v>
      </c>
      <c r="C5" t="s">
        <v>6</v>
      </c>
      <c r="D5" t="s">
        <v>58</v>
      </c>
    </row>
    <row r="6" spans="1:4" x14ac:dyDescent="0.25">
      <c r="A6" t="s">
        <v>59</v>
      </c>
      <c r="B6" t="s">
        <v>60</v>
      </c>
      <c r="C6" t="s">
        <v>6</v>
      </c>
      <c r="D6" t="s">
        <v>61</v>
      </c>
    </row>
    <row r="7" spans="1:4" x14ac:dyDescent="0.25">
      <c r="A7" t="s">
        <v>62</v>
      </c>
      <c r="B7" t="s">
        <v>63</v>
      </c>
      <c r="C7" t="s">
        <v>6</v>
      </c>
      <c r="D7" t="s">
        <v>64</v>
      </c>
    </row>
    <row r="8" spans="1:4" x14ac:dyDescent="0.25">
      <c r="A8" t="s">
        <v>65</v>
      </c>
      <c r="B8" t="s">
        <v>66</v>
      </c>
      <c r="C8" t="s">
        <v>6</v>
      </c>
      <c r="D8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42307-E294-49B7-9C3A-1EF07D5B666E}">
  <dimension ref="A1:D8"/>
  <sheetViews>
    <sheetView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5.85546875" bestFit="1" customWidth="1"/>
    <col min="2" max="2" width="15.28515625" bestFit="1" customWidth="1"/>
    <col min="3" max="3" width="8.140625" bestFit="1" customWidth="1"/>
    <col min="4" max="4" width="16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68</v>
      </c>
      <c r="B2" t="s">
        <v>69</v>
      </c>
      <c r="C2" t="s">
        <v>6</v>
      </c>
      <c r="D2" t="s">
        <v>70</v>
      </c>
    </row>
    <row r="3" spans="1:4" x14ac:dyDescent="0.25">
      <c r="A3" t="s">
        <v>71</v>
      </c>
      <c r="B3" t="s">
        <v>72</v>
      </c>
      <c r="C3" t="s">
        <v>6</v>
      </c>
      <c r="D3" t="s">
        <v>73</v>
      </c>
    </row>
    <row r="4" spans="1:4" x14ac:dyDescent="0.25">
      <c r="A4" t="s">
        <v>74</v>
      </c>
      <c r="B4" t="s">
        <v>75</v>
      </c>
      <c r="C4" t="s">
        <v>6</v>
      </c>
      <c r="D4" t="s">
        <v>76</v>
      </c>
    </row>
    <row r="5" spans="1:4" x14ac:dyDescent="0.25">
      <c r="A5" t="s">
        <v>77</v>
      </c>
      <c r="B5" t="s">
        <v>78</v>
      </c>
      <c r="C5" t="s">
        <v>6</v>
      </c>
      <c r="D5" t="s">
        <v>79</v>
      </c>
    </row>
    <row r="6" spans="1:4" x14ac:dyDescent="0.25">
      <c r="A6" t="s">
        <v>80</v>
      </c>
      <c r="B6" t="s">
        <v>81</v>
      </c>
      <c r="C6" t="s">
        <v>6</v>
      </c>
      <c r="D6" t="s">
        <v>82</v>
      </c>
    </row>
    <row r="7" spans="1:4" x14ac:dyDescent="0.25">
      <c r="A7" t="s">
        <v>83</v>
      </c>
      <c r="B7" t="s">
        <v>84</v>
      </c>
      <c r="C7" t="s">
        <v>6</v>
      </c>
      <c r="D7" t="s">
        <v>85</v>
      </c>
    </row>
    <row r="8" spans="1:4" x14ac:dyDescent="0.25">
      <c r="A8" t="s">
        <v>86</v>
      </c>
      <c r="B8" t="s">
        <v>87</v>
      </c>
      <c r="C8" t="s">
        <v>6</v>
      </c>
      <c r="D8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B8FB1-2AF2-4A7A-8B24-FBEEE83BE67E}">
  <dimension ref="A1:D31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8.140625" bestFit="1" customWidth="1"/>
    <col min="2" max="2" width="8.85546875" bestFit="1" customWidth="1"/>
    <col min="3" max="3" width="12.85546875" bestFit="1" customWidth="1"/>
    <col min="4" max="4" width="5.5703125" bestFit="1" customWidth="1"/>
  </cols>
  <sheetData>
    <row r="1" spans="1:4" x14ac:dyDescent="0.25">
      <c r="A1" s="1" t="s">
        <v>89</v>
      </c>
      <c r="B1" s="1" t="s">
        <v>0</v>
      </c>
      <c r="C1" s="1" t="s">
        <v>90</v>
      </c>
      <c r="D1" s="1" t="s">
        <v>91</v>
      </c>
    </row>
    <row r="2" spans="1:4" x14ac:dyDescent="0.25">
      <c r="A2" s="4" t="s">
        <v>92</v>
      </c>
      <c r="B2" s="2">
        <f>DI_Futuro!A2</f>
        <v>46048</v>
      </c>
      <c r="C2" t="str">
        <f>DI_Futuro!C2</f>
        <v>PX_LAST</v>
      </c>
      <c r="D2">
        <f ca="1">DI_Futuro!E2</f>
        <v>-103</v>
      </c>
    </row>
    <row r="3" spans="1:4" x14ac:dyDescent="0.25">
      <c r="A3" s="4" t="s">
        <v>92</v>
      </c>
      <c r="B3" s="2">
        <f>DI_Futuro!A3</f>
        <v>46229</v>
      </c>
      <c r="C3" t="str">
        <f>DI_Futuro!C3</f>
        <v>PX_LAST</v>
      </c>
      <c r="D3">
        <f ca="1">DI_Futuro!E3</f>
        <v>27</v>
      </c>
    </row>
    <row r="4" spans="1:4" x14ac:dyDescent="0.25">
      <c r="A4" s="4" t="s">
        <v>92</v>
      </c>
      <c r="B4" s="2">
        <f>DI_Futuro!A4</f>
        <v>46049</v>
      </c>
      <c r="C4" t="str">
        <f>DI_Futuro!C4</f>
        <v>PX_LAST</v>
      </c>
      <c r="D4">
        <f ca="1">DI_Futuro!E4</f>
        <v>160</v>
      </c>
    </row>
    <row r="5" spans="1:4" x14ac:dyDescent="0.25">
      <c r="A5" s="4" t="s">
        <v>92</v>
      </c>
      <c r="B5" s="2">
        <f>DI_Futuro!A5</f>
        <v>46230</v>
      </c>
      <c r="C5" t="str">
        <f>DI_Futuro!C5</f>
        <v>PX_LAST</v>
      </c>
      <c r="D5">
        <f ca="1">DI_Futuro!E5</f>
        <v>288</v>
      </c>
    </row>
    <row r="6" spans="1:4" x14ac:dyDescent="0.25">
      <c r="A6" s="4" t="s">
        <v>92</v>
      </c>
      <c r="B6" s="2">
        <f>DI_Futuro!A6</f>
        <v>46050</v>
      </c>
      <c r="C6" t="str">
        <f>DI_Futuro!C6</f>
        <v>PX_LAST</v>
      </c>
      <c r="D6">
        <f ca="1">DI_Futuro!E6</f>
        <v>420</v>
      </c>
    </row>
    <row r="7" spans="1:4" x14ac:dyDescent="0.25">
      <c r="A7" s="4" t="s">
        <v>92</v>
      </c>
      <c r="B7" s="2">
        <f>DI_Futuro!A7</f>
        <v>46051</v>
      </c>
      <c r="C7" t="str">
        <f>DI_Futuro!C7</f>
        <v>PX_LAST</v>
      </c>
      <c r="D7">
        <f ca="1">DI_Futuro!E7</f>
        <v>681</v>
      </c>
    </row>
    <row r="8" spans="1:4" x14ac:dyDescent="0.25">
      <c r="A8" s="4" t="s">
        <v>92</v>
      </c>
      <c r="B8" s="2">
        <f>DI_Futuro!A8</f>
        <v>46053</v>
      </c>
      <c r="C8" t="str">
        <f>DI_Futuro!C8</f>
        <v>PX_LAST</v>
      </c>
      <c r="D8">
        <f ca="1">DI_Futuro!E8</f>
        <v>1203</v>
      </c>
    </row>
    <row r="9" spans="1:4" x14ac:dyDescent="0.25">
      <c r="A9" s="4" t="s">
        <v>92</v>
      </c>
      <c r="B9" s="3">
        <f>DI_Futuro!A9</f>
        <v>12055</v>
      </c>
      <c r="C9" t="str">
        <f>DI_Futuro!C9</f>
        <v>PX_LAST</v>
      </c>
      <c r="D9">
        <f ca="1">DI_Futuro!E9</f>
        <v>1725</v>
      </c>
    </row>
    <row r="10" spans="1:4" x14ac:dyDescent="0.25">
      <c r="A10" s="4" t="s">
        <v>93</v>
      </c>
      <c r="B10" t="str">
        <f>NTNB!A2</f>
        <v>Mai/26</v>
      </c>
      <c r="C10" t="str">
        <f>NTNB!C2</f>
        <v>YLD_YTM_MID</v>
      </c>
    </row>
    <row r="11" spans="1:4" x14ac:dyDescent="0.25">
      <c r="A11" s="4" t="s">
        <v>93</v>
      </c>
      <c r="B11" t="str">
        <f>NTNB!A3</f>
        <v>Ago/28</v>
      </c>
      <c r="C11" t="str">
        <f>NTNB!C3</f>
        <v>YLD_YTM_MID</v>
      </c>
    </row>
    <row r="12" spans="1:4" x14ac:dyDescent="0.25">
      <c r="A12" s="4" t="s">
        <v>93</v>
      </c>
      <c r="B12" t="str">
        <f>NTNB!A4</f>
        <v>Mai/31</v>
      </c>
      <c r="C12" t="str">
        <f>NTNB!C4</f>
        <v>YLD_YTM_MID</v>
      </c>
    </row>
    <row r="13" spans="1:4" x14ac:dyDescent="0.25">
      <c r="A13" s="4" t="s">
        <v>93</v>
      </c>
      <c r="B13" t="str">
        <f>NTNB!A5</f>
        <v>Mai/35</v>
      </c>
      <c r="C13" t="str">
        <f>NTNB!C5</f>
        <v>YLD_YTM_MID</v>
      </c>
    </row>
    <row r="14" spans="1:4" x14ac:dyDescent="0.25">
      <c r="A14" s="4" t="s">
        <v>93</v>
      </c>
      <c r="B14" t="str">
        <f>NTNB!A6</f>
        <v>Mai/40</v>
      </c>
      <c r="C14" t="str">
        <f>NTNB!C6</f>
        <v>YLD_YTM_MID</v>
      </c>
    </row>
    <row r="15" spans="1:4" x14ac:dyDescent="0.25">
      <c r="A15" s="4" t="s">
        <v>93</v>
      </c>
      <c r="B15" t="str">
        <f>NTNB!A7</f>
        <v>Mai/45</v>
      </c>
      <c r="C15" t="str">
        <f>NTNB!C7</f>
        <v>YLD_YTM_MID</v>
      </c>
    </row>
    <row r="16" spans="1:4" x14ac:dyDescent="0.25">
      <c r="A16" s="4" t="s">
        <v>93</v>
      </c>
      <c r="B16" t="str">
        <f>NTNB!A8</f>
        <v>Ago/50</v>
      </c>
      <c r="C16" t="str">
        <f>NTNB!C8</f>
        <v>YLD_YTM_MID</v>
      </c>
    </row>
    <row r="17" spans="1:3" x14ac:dyDescent="0.25">
      <c r="A17" s="4" t="s">
        <v>93</v>
      </c>
      <c r="B17" t="str">
        <f>NTNB!A9</f>
        <v>Mai/55</v>
      </c>
      <c r="C17" t="str">
        <f>NTNB!C9</f>
        <v>YLD_YTM_MID</v>
      </c>
    </row>
    <row r="18" spans="1:3" x14ac:dyDescent="0.25">
      <c r="A18" s="4" t="s">
        <v>94</v>
      </c>
      <c r="B18" t="str">
        <f>FX!A2</f>
        <v>USD/BRL</v>
      </c>
      <c r="C18" t="str">
        <f>FX!C2</f>
        <v>PX_LAST</v>
      </c>
    </row>
    <row r="19" spans="1:3" x14ac:dyDescent="0.25">
      <c r="A19" s="4" t="s">
        <v>94</v>
      </c>
      <c r="B19" t="str">
        <f>FX!A3</f>
        <v>EUR/BRL</v>
      </c>
      <c r="C19" t="str">
        <f>FX!C3</f>
        <v>PX_LAST</v>
      </c>
    </row>
    <row r="20" spans="1:3" x14ac:dyDescent="0.25">
      <c r="A20" s="4" t="s">
        <v>94</v>
      </c>
      <c r="B20" t="str">
        <f>FX!A4</f>
        <v>EUR/USD</v>
      </c>
      <c r="C20" t="str">
        <f>FX!C4</f>
        <v>PX_LAST</v>
      </c>
    </row>
    <row r="21" spans="1:3" x14ac:dyDescent="0.25">
      <c r="A21" s="4" t="s">
        <v>94</v>
      </c>
      <c r="B21" t="str">
        <f>FX!A5</f>
        <v>GBP/USD</v>
      </c>
      <c r="C21" t="str">
        <f>FX!C5</f>
        <v>PX_LAST</v>
      </c>
    </row>
    <row r="22" spans="1:3" x14ac:dyDescent="0.25">
      <c r="A22" s="4" t="s">
        <v>94</v>
      </c>
      <c r="B22" t="str">
        <f>FX!A6</f>
        <v>USD/JPY</v>
      </c>
      <c r="C22" t="str">
        <f>FX!C6</f>
        <v>PX_LAST</v>
      </c>
    </row>
    <row r="23" spans="1:3" x14ac:dyDescent="0.25">
      <c r="A23" s="4" t="s">
        <v>94</v>
      </c>
      <c r="B23" t="str">
        <f>FX!A7</f>
        <v>USD/CNY</v>
      </c>
      <c r="C23" t="str">
        <f>FX!C7</f>
        <v>PX_LAST</v>
      </c>
    </row>
    <row r="24" spans="1:3" x14ac:dyDescent="0.25">
      <c r="A24" s="4" t="s">
        <v>94</v>
      </c>
      <c r="B24" t="str">
        <f>FX!A8</f>
        <v>DXY</v>
      </c>
      <c r="C24" t="str">
        <f>FX!C8</f>
        <v>PX_LAST</v>
      </c>
    </row>
    <row r="25" spans="1:3" x14ac:dyDescent="0.25">
      <c r="A25" s="4" t="s">
        <v>95</v>
      </c>
      <c r="B25" t="str">
        <f>Treasuries!A2</f>
        <v>2y</v>
      </c>
      <c r="C25" t="str">
        <f>Treasuries!C2</f>
        <v>PX_LAST</v>
      </c>
    </row>
    <row r="26" spans="1:3" x14ac:dyDescent="0.25">
      <c r="A26" s="4" t="s">
        <v>95</v>
      </c>
      <c r="B26" t="str">
        <f>Treasuries!A3</f>
        <v>3y</v>
      </c>
      <c r="C26" t="str">
        <f>Treasuries!C3</f>
        <v>PX_LAST</v>
      </c>
    </row>
    <row r="27" spans="1:3" x14ac:dyDescent="0.25">
      <c r="A27" s="4" t="s">
        <v>95</v>
      </c>
      <c r="B27" t="str">
        <f>Treasuries!A4</f>
        <v>5y</v>
      </c>
      <c r="C27" t="str">
        <f>Treasuries!C4</f>
        <v>PX_LAST</v>
      </c>
    </row>
    <row r="28" spans="1:3" x14ac:dyDescent="0.25">
      <c r="A28" s="4" t="s">
        <v>95</v>
      </c>
      <c r="B28" t="str">
        <f>Treasuries!A5</f>
        <v>7y</v>
      </c>
      <c r="C28" t="str">
        <f>Treasuries!C5</f>
        <v>PX_LAST</v>
      </c>
    </row>
    <row r="29" spans="1:3" x14ac:dyDescent="0.25">
      <c r="A29" s="4" t="s">
        <v>95</v>
      </c>
      <c r="B29" t="str">
        <f>Treasuries!A6</f>
        <v>10y</v>
      </c>
      <c r="C29" t="str">
        <f>Treasuries!C6</f>
        <v>PX_LAST</v>
      </c>
    </row>
    <row r="30" spans="1:3" x14ac:dyDescent="0.25">
      <c r="A30" s="4" t="s">
        <v>95</v>
      </c>
      <c r="B30" t="str">
        <f>Treasuries!A7</f>
        <v>20y</v>
      </c>
      <c r="C30" t="str">
        <f>Treasuries!C7</f>
        <v>PX_LAST</v>
      </c>
    </row>
    <row r="31" spans="1:3" x14ac:dyDescent="0.25">
      <c r="A31" s="4" t="s">
        <v>95</v>
      </c>
      <c r="B31" t="str">
        <f>Treasuries!A8</f>
        <v>30y</v>
      </c>
      <c r="C31" t="str">
        <f>Treasuries!C8</f>
        <v>PX_LAST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DI_Futuro</vt:lpstr>
      <vt:lpstr>NTNB</vt:lpstr>
      <vt:lpstr>FX</vt:lpstr>
      <vt:lpstr>Treasuries</vt:lpstr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Jansen</dc:creator>
  <cp:lastModifiedBy>Tiago Jansen</cp:lastModifiedBy>
  <dcterms:created xsi:type="dcterms:W3CDTF">2026-05-26T18:24:48Z</dcterms:created>
  <dcterms:modified xsi:type="dcterms:W3CDTF">2026-05-26T18:24:51Z</dcterms:modified>
</cp:coreProperties>
</file>